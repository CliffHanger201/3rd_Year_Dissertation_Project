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y\Source\repos\Programming Files - repos\3rd Year Project\3rd_Year_Dissertation_Project\"/>
    </mc:Choice>
  </mc:AlternateContent>
  <xr:revisionPtr revIDLastSave="0" documentId="13_ncr:1_{7EDC3115-4F45-4827-B07D-34CAAB51BAD4}" xr6:coauthVersionLast="47" xr6:coauthVersionMax="47" xr10:uidLastSave="{00000000-0000-0000-0000-000000000000}"/>
  <bookViews>
    <workbookView xWindow="-108" yWindow="-108" windowWidth="23256" windowHeight="12456" xr2:uid="{A0E2BBAB-5E25-4149-B507-5DA839ED86EB}"/>
  </bookViews>
  <sheets>
    <sheet name="Project Gant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2" i="1" l="1"/>
  <c r="M4" i="1"/>
  <c r="N4" i="1" s="1"/>
  <c r="O4" i="1" s="1"/>
  <c r="P4" i="1" s="1"/>
  <c r="K3" i="1"/>
  <c r="Q4" i="1" l="1"/>
  <c r="R4" i="1" s="1"/>
  <c r="S4" i="1" s="1"/>
  <c r="T4" i="1" s="1"/>
  <c r="U4" i="1" s="1"/>
  <c r="O3" i="1"/>
  <c r="V4" i="1" l="1"/>
  <c r="W4" i="1" s="1"/>
  <c r="X4" i="1" s="1"/>
  <c r="Y4" i="1" s="1"/>
  <c r="T3" i="1"/>
  <c r="T2" i="1"/>
  <c r="X3" i="1" l="1"/>
  <c r="Z4" i="1"/>
  <c r="AA4" i="1" s="1"/>
  <c r="AB4" i="1" s="1"/>
  <c r="AC4" i="1" s="1"/>
  <c r="AB2" i="1" s="1"/>
  <c r="AD4" i="1" l="1"/>
  <c r="AE4" i="1" s="1"/>
  <c r="AF4" i="1" s="1"/>
  <c r="AG4" i="1" s="1"/>
  <c r="AH4" i="1" s="1"/>
  <c r="AB3" i="1"/>
  <c r="AI4" i="1" l="1"/>
  <c r="AJ4" i="1" s="1"/>
  <c r="AG3" i="1"/>
</calcChain>
</file>

<file path=xl/sharedStrings.xml><?xml version="1.0" encoding="utf-8"?>
<sst xmlns="http://schemas.openxmlformats.org/spreadsheetml/2006/main" count="24" uniqueCount="24">
  <si>
    <t>Project Name:</t>
  </si>
  <si>
    <t>Project Start Date:</t>
  </si>
  <si>
    <t>#</t>
  </si>
  <si>
    <t>Start</t>
  </si>
  <si>
    <t>End</t>
  </si>
  <si>
    <t>Days</t>
  </si>
  <si>
    <t>Status</t>
  </si>
  <si>
    <t>% Done</t>
  </si>
  <si>
    <t>Week starting:</t>
  </si>
  <si>
    <t>Pre-Trained Hyper-Heuristics For Optimisation Tasks</t>
  </si>
  <si>
    <t>Milestone</t>
  </si>
  <si>
    <t>Deliverable</t>
  </si>
  <si>
    <t>Construct a hyper-heuristic</t>
  </si>
  <si>
    <t>Hyper-heuristic metric scores</t>
  </si>
  <si>
    <t>Pre-train hyper-heuristic</t>
  </si>
  <si>
    <t>Evaluate pre-trained HH performance</t>
  </si>
  <si>
    <t>Evaluate standard HH performance</t>
  </si>
  <si>
    <t>Graph Results</t>
  </si>
  <si>
    <t>Integrated web-server</t>
  </si>
  <si>
    <t>Collect scores from HyFlex HHs</t>
  </si>
  <si>
    <t>Pre-trained hyper-heuristic</t>
  </si>
  <si>
    <t>Build a compatible web-server bridge</t>
  </si>
  <si>
    <t>Add Python and Java port</t>
  </si>
  <si>
    <t>Compare pre-trained HH with HyFlex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</si>
</sst>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yyyy"/>
    <numFmt numFmtId="166" formatCode="d\-mmm\-yy"/>
  </numFmts>
  <fonts count="10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Calibri"/>
      <family val="2"/>
    </font>
    <font>
      <i/>
      <sz val="18"/>
      <color rgb="FF7F7F7F"/>
      <name val="Calibri"/>
      <family val="2"/>
    </font>
    <font>
      <b/>
      <sz val="11"/>
      <color theme="3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lightTrellis">
        <bgColor rgb="FFDAF2D0"/>
      </patternFill>
    </fill>
    <fill>
      <patternFill patternType="lightTrellis">
        <bgColor theme="5" tint="0.79995117038483843"/>
      </patternFill>
    </fill>
    <fill>
      <patternFill patternType="lightTrellis">
        <bgColor theme="6" tint="0.39997558519241921"/>
      </patternFill>
    </fill>
    <fill>
      <patternFill patternType="lightTrellis">
        <bgColor theme="8" tint="0.79995117038483843"/>
      </patternFill>
    </fill>
    <fill>
      <patternFill patternType="lightTrellis">
        <bgColor theme="5" tint="0.39997558519241921"/>
      </patternFill>
    </fill>
    <fill>
      <patternFill patternType="lightTrellis">
        <bgColor theme="8" tint="0.39997558519241921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/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thin">
        <color theme="0" tint="-0.34998626667073579"/>
      </diagonal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16" fontId="6" fillId="0" borderId="9" xfId="0" applyNumberFormat="1" applyFont="1" applyBorder="1" applyAlignment="1">
      <alignment horizontal="center" vertical="center" textRotation="90" shrinkToFit="1"/>
    </xf>
    <xf numFmtId="16" fontId="6" fillId="0" borderId="10" xfId="0" applyNumberFormat="1" applyFont="1" applyBorder="1" applyAlignment="1">
      <alignment horizontal="center" vertical="center" textRotation="90" shrinkToFit="1"/>
    </xf>
    <xf numFmtId="0" fontId="3" fillId="0" borderId="11" xfId="0" applyFont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15" fontId="3" fillId="7" borderId="13" xfId="0" applyNumberFormat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 wrapText="1" indent="1"/>
    </xf>
    <xf numFmtId="0" fontId="3" fillId="9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 shrinkToFit="1"/>
    </xf>
    <xf numFmtId="165" fontId="3" fillId="4" borderId="6" xfId="0" applyNumberFormat="1" applyFont="1" applyFill="1" applyBorder="1" applyAlignment="1">
      <alignment horizontal="center" vertical="center"/>
    </xf>
    <xf numFmtId="165" fontId="3" fillId="4" borderId="12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165" fontId="3" fillId="6" borderId="6" xfId="0" applyNumberFormat="1" applyFont="1" applyFill="1" applyBorder="1" applyAlignment="1">
      <alignment horizontal="center" vertical="center"/>
    </xf>
    <xf numFmtId="165" fontId="3" fillId="6" borderId="12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6" borderId="5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</cellXfs>
  <cellStyles count="3">
    <cellStyle name="Explanatory Text" xfId="2" builtinId="53"/>
    <cellStyle name="Heading 3" xfId="1" builtinId="18"/>
    <cellStyle name="Normal" xfId="0" builtinId="0"/>
  </cellStyles>
  <dxfs count="0"/>
  <tableStyles count="0" defaultTableStyle="TableStyleMedium2" defaultPivotStyle="PivotStyleLight16"/>
  <colors>
    <mruColors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9BD5-5BFF-46CE-8199-241402C1D82F}">
  <dimension ref="A1:AJ15"/>
  <sheetViews>
    <sheetView showGridLines="0" tabSelected="1" zoomScale="105" zoomScaleNormal="105" workbookViewId="0">
      <selection activeCell="P13" sqref="P13"/>
    </sheetView>
  </sheetViews>
  <sheetFormatPr defaultColWidth="4.77734375" defaultRowHeight="14.4" x14ac:dyDescent="0.3"/>
  <cols>
    <col min="1" max="1" width="8.88671875" style="1" customWidth="1"/>
    <col min="2" max="2" width="8.88671875" style="4" customWidth="1"/>
    <col min="3" max="3" width="25.77734375" style="1" customWidth="1"/>
    <col min="4" max="4" width="32.77734375" style="1" customWidth="1"/>
    <col min="5" max="6" width="10.77734375" style="1" hidden="1" customWidth="1"/>
    <col min="7" max="9" width="8.88671875" style="1" hidden="1" customWidth="1"/>
    <col min="10" max="10" width="0.88671875" style="1" customWidth="1"/>
    <col min="11" max="36" width="3.77734375" style="1" customWidth="1"/>
    <col min="37" max="16384" width="4.77734375" style="1"/>
  </cols>
  <sheetData>
    <row r="1" spans="1:36" ht="10.050000000000001" customHeight="1" x14ac:dyDescent="0.3"/>
    <row r="2" spans="1:36" x14ac:dyDescent="0.3">
      <c r="K2" s="51">
        <f>L4</f>
        <v>45971</v>
      </c>
      <c r="L2" s="52"/>
      <c r="M2" s="52"/>
      <c r="N2" s="52"/>
      <c r="O2" s="52"/>
      <c r="P2" s="52"/>
      <c r="Q2" s="52"/>
      <c r="R2" s="52"/>
      <c r="S2" s="52"/>
      <c r="T2" s="44">
        <f>U4</f>
        <v>46034</v>
      </c>
      <c r="U2" s="45"/>
      <c r="V2" s="45"/>
      <c r="W2" s="45"/>
      <c r="X2" s="45"/>
      <c r="Y2" s="45"/>
      <c r="Z2" s="45"/>
      <c r="AA2" s="46"/>
      <c r="AB2" s="47">
        <f>AC4</f>
        <v>46090</v>
      </c>
      <c r="AC2" s="48"/>
      <c r="AD2" s="48"/>
      <c r="AE2" s="48"/>
      <c r="AF2" s="48"/>
      <c r="AG2" s="48"/>
      <c r="AH2" s="48"/>
      <c r="AI2" s="48"/>
      <c r="AJ2" s="48"/>
    </row>
    <row r="3" spans="1:36" ht="14.4" customHeight="1" x14ac:dyDescent="0.3">
      <c r="C3" s="1" t="s">
        <v>1</v>
      </c>
      <c r="D3" s="11">
        <v>45967</v>
      </c>
      <c r="K3" s="53">
        <f>L4</f>
        <v>45971</v>
      </c>
      <c r="L3" s="49"/>
      <c r="M3" s="49"/>
      <c r="N3" s="49"/>
      <c r="O3" s="50">
        <f>P4</f>
        <v>45999</v>
      </c>
      <c r="P3" s="50"/>
      <c r="Q3" s="50"/>
      <c r="R3" s="50"/>
      <c r="S3" s="50"/>
      <c r="T3" s="49">
        <f>U4</f>
        <v>46034</v>
      </c>
      <c r="U3" s="49"/>
      <c r="V3" s="49"/>
      <c r="W3" s="49"/>
      <c r="X3" s="50">
        <f>Y4</f>
        <v>46062</v>
      </c>
      <c r="Y3" s="50"/>
      <c r="Z3" s="50"/>
      <c r="AA3" s="50"/>
      <c r="AB3" s="49">
        <f>AC4</f>
        <v>46090</v>
      </c>
      <c r="AC3" s="49"/>
      <c r="AD3" s="49"/>
      <c r="AE3" s="49"/>
      <c r="AF3" s="49"/>
      <c r="AG3" s="50">
        <f>AH4</f>
        <v>46125</v>
      </c>
      <c r="AH3" s="50"/>
      <c r="AI3" s="50"/>
      <c r="AJ3" s="50"/>
    </row>
    <row r="4" spans="1:36" s="5" customFormat="1" ht="34.950000000000003" customHeight="1" x14ac:dyDescent="0.3">
      <c r="A4" s="1"/>
      <c r="B4" s="4"/>
      <c r="C4" s="1" t="s">
        <v>0</v>
      </c>
      <c r="D4" s="43" t="s">
        <v>9</v>
      </c>
      <c r="E4" s="43"/>
      <c r="F4" s="43"/>
      <c r="G4" s="43"/>
      <c r="H4" s="1"/>
      <c r="I4" s="2" t="s">
        <v>8</v>
      </c>
      <c r="J4" s="1"/>
      <c r="K4" s="7">
        <f>IF(MONTH(D3-WEEKDAY((D3),2)+1)&lt;MONTH(D3),(D3-28-DAY(D3)+7)-WEEKDAY((D3-DAY(D3)+7),2)+1,(D3-DAY(D3)+7)-WEEKDAY((D3-DAY(D3)+7),2)+1)</f>
        <v>45964</v>
      </c>
      <c r="L4" s="8">
        <f>K4+7</f>
        <v>45971</v>
      </c>
      <c r="M4" s="8">
        <f t="shared" ref="M4:AJ4" si="0">L4+7</f>
        <v>45978</v>
      </c>
      <c r="N4" s="8">
        <f t="shared" si="0"/>
        <v>45985</v>
      </c>
      <c r="O4" s="8">
        <f t="shared" si="0"/>
        <v>45992</v>
      </c>
      <c r="P4" s="8">
        <f t="shared" si="0"/>
        <v>45999</v>
      </c>
      <c r="Q4" s="8">
        <f t="shared" si="0"/>
        <v>46006</v>
      </c>
      <c r="R4" s="8">
        <f t="shared" si="0"/>
        <v>46013</v>
      </c>
      <c r="S4" s="8">
        <f t="shared" si="0"/>
        <v>46020</v>
      </c>
      <c r="T4" s="8">
        <f t="shared" si="0"/>
        <v>46027</v>
      </c>
      <c r="U4" s="8">
        <f t="shared" si="0"/>
        <v>46034</v>
      </c>
      <c r="V4" s="8">
        <f t="shared" si="0"/>
        <v>46041</v>
      </c>
      <c r="W4" s="8">
        <f t="shared" si="0"/>
        <v>46048</v>
      </c>
      <c r="X4" s="8">
        <f t="shared" si="0"/>
        <v>46055</v>
      </c>
      <c r="Y4" s="8">
        <f t="shared" si="0"/>
        <v>46062</v>
      </c>
      <c r="Z4" s="8">
        <f t="shared" si="0"/>
        <v>46069</v>
      </c>
      <c r="AA4" s="8">
        <f t="shared" si="0"/>
        <v>46076</v>
      </c>
      <c r="AB4" s="8">
        <f t="shared" si="0"/>
        <v>46083</v>
      </c>
      <c r="AC4" s="8">
        <f t="shared" si="0"/>
        <v>46090</v>
      </c>
      <c r="AD4" s="8">
        <f t="shared" si="0"/>
        <v>46097</v>
      </c>
      <c r="AE4" s="8">
        <f t="shared" si="0"/>
        <v>46104</v>
      </c>
      <c r="AF4" s="8">
        <f t="shared" si="0"/>
        <v>46111</v>
      </c>
      <c r="AG4" s="8">
        <f t="shared" si="0"/>
        <v>46118</v>
      </c>
      <c r="AH4" s="8">
        <f t="shared" si="0"/>
        <v>46125</v>
      </c>
      <c r="AI4" s="8">
        <f t="shared" si="0"/>
        <v>46132</v>
      </c>
      <c r="AJ4" s="8">
        <f t="shared" si="0"/>
        <v>46139</v>
      </c>
    </row>
    <row r="5" spans="1:36" s="3" customFormat="1" ht="19.95" customHeight="1" x14ac:dyDescent="0.3">
      <c r="B5" s="31" t="s">
        <v>2</v>
      </c>
      <c r="C5" s="12" t="s">
        <v>10</v>
      </c>
      <c r="D5" s="13" t="s">
        <v>11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35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9.95" customHeight="1" x14ac:dyDescent="0.3">
      <c r="B6" s="40">
        <v>1</v>
      </c>
      <c r="C6" s="37" t="s">
        <v>20</v>
      </c>
      <c r="D6" s="32" t="s">
        <v>12</v>
      </c>
      <c r="E6" s="15">
        <v>45964</v>
      </c>
      <c r="F6" s="15"/>
      <c r="G6" s="16"/>
      <c r="H6" s="14"/>
      <c r="I6" s="14"/>
      <c r="J6" s="36"/>
      <c r="K6" s="33"/>
      <c r="L6" s="17"/>
      <c r="M6" s="17"/>
      <c r="N6" s="17"/>
      <c r="O6" s="19"/>
      <c r="P6" s="19"/>
      <c r="Q6" s="19"/>
      <c r="R6" s="25"/>
      <c r="S6" s="25"/>
      <c r="T6" s="26"/>
      <c r="U6" s="26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19.95" customHeight="1" x14ac:dyDescent="0.3">
      <c r="B7" s="42"/>
      <c r="C7" s="39"/>
      <c r="D7" s="32" t="s">
        <v>14</v>
      </c>
      <c r="E7" s="15"/>
      <c r="F7" s="15"/>
      <c r="G7" s="16"/>
      <c r="H7" s="14"/>
      <c r="I7" s="14"/>
      <c r="J7" s="36"/>
      <c r="K7" s="34"/>
      <c r="L7" s="6"/>
      <c r="M7" s="6"/>
      <c r="N7" s="6"/>
      <c r="O7" s="18"/>
      <c r="P7" s="18"/>
      <c r="Q7" s="18"/>
      <c r="R7" s="18"/>
      <c r="S7" s="24"/>
      <c r="T7" s="23"/>
      <c r="U7" s="23"/>
      <c r="V7" s="27"/>
      <c r="W7" s="27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ht="19.95" customHeight="1" x14ac:dyDescent="0.3">
      <c r="B8" s="40">
        <v>2</v>
      </c>
      <c r="C8" s="37" t="s">
        <v>13</v>
      </c>
      <c r="D8" s="32" t="s">
        <v>16</v>
      </c>
      <c r="E8" s="15"/>
      <c r="F8" s="15"/>
      <c r="G8" s="16"/>
      <c r="H8" s="14"/>
      <c r="I8" s="14"/>
      <c r="J8" s="36"/>
      <c r="K8" s="34"/>
      <c r="L8" s="6"/>
      <c r="M8" s="6"/>
      <c r="N8" s="6"/>
      <c r="O8" s="6"/>
      <c r="P8" s="6"/>
      <c r="Q8" s="20"/>
      <c r="R8" s="20"/>
      <c r="S8" s="20"/>
      <c r="T8" s="22"/>
      <c r="U8" s="22"/>
      <c r="V8" s="29"/>
      <c r="W8" s="29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ht="19.95" customHeight="1" x14ac:dyDescent="0.3">
      <c r="B9" s="41"/>
      <c r="C9" s="38"/>
      <c r="D9" s="32" t="s">
        <v>15</v>
      </c>
      <c r="E9" s="15"/>
      <c r="F9" s="15"/>
      <c r="G9" s="16"/>
      <c r="H9" s="14"/>
      <c r="I9" s="14"/>
      <c r="J9" s="36"/>
      <c r="K9" s="34"/>
      <c r="L9" s="6"/>
      <c r="M9" s="6"/>
      <c r="N9" s="6"/>
      <c r="O9" s="6"/>
      <c r="P9" s="6"/>
      <c r="Q9" s="20"/>
      <c r="R9" s="20"/>
      <c r="S9" s="20"/>
      <c r="T9" s="20"/>
      <c r="U9" s="22"/>
      <c r="V9" s="22"/>
      <c r="W9" s="29"/>
      <c r="X9" s="29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ht="19.95" customHeight="1" x14ac:dyDescent="0.3">
      <c r="B10" s="42"/>
      <c r="C10" s="39"/>
      <c r="D10" s="32" t="s">
        <v>17</v>
      </c>
      <c r="E10" s="15"/>
      <c r="F10" s="15"/>
      <c r="G10" s="16"/>
      <c r="H10" s="14"/>
      <c r="I10" s="14"/>
      <c r="J10" s="36"/>
      <c r="K10" s="34"/>
      <c r="L10" s="6"/>
      <c r="M10" s="6"/>
      <c r="N10" s="6"/>
      <c r="O10" s="6"/>
      <c r="P10" s="6"/>
      <c r="Q10" s="6"/>
      <c r="R10" s="20"/>
      <c r="S10" s="20"/>
      <c r="T10" s="20"/>
      <c r="U10" s="20"/>
      <c r="V10" s="20"/>
      <c r="W10" s="22"/>
      <c r="X10" s="22"/>
      <c r="Y10" s="29"/>
      <c r="Z10" s="29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ht="19.95" customHeight="1" x14ac:dyDescent="0.3">
      <c r="B11" s="40">
        <v>3</v>
      </c>
      <c r="C11" s="37" t="s">
        <v>18</v>
      </c>
      <c r="D11" s="32" t="s">
        <v>19</v>
      </c>
      <c r="E11" s="15"/>
      <c r="F11" s="15"/>
      <c r="G11" s="16"/>
      <c r="H11" s="14"/>
      <c r="I11" s="14"/>
      <c r="J11" s="36"/>
      <c r="K11" s="34"/>
      <c r="L11" s="6"/>
      <c r="M11" s="6"/>
      <c r="N11" s="6"/>
      <c r="O11" s="6"/>
      <c r="P11" s="6"/>
      <c r="Q11" s="6"/>
      <c r="R11" s="6"/>
      <c r="S11" s="6"/>
      <c r="T11" s="21"/>
      <c r="U11" s="21"/>
      <c r="V11" s="21"/>
      <c r="W11" s="21"/>
      <c r="X11" s="21"/>
      <c r="Y11" s="21"/>
      <c r="Z11" s="28"/>
      <c r="AA11" s="28"/>
      <c r="AB11" s="30"/>
      <c r="AC11" s="30"/>
      <c r="AD11" s="6"/>
      <c r="AE11" s="6"/>
      <c r="AF11" s="6"/>
      <c r="AG11" s="6"/>
      <c r="AH11" s="6"/>
      <c r="AI11" s="6"/>
      <c r="AJ11" s="6"/>
    </row>
    <row r="12" spans="1:36" ht="19.95" customHeight="1" x14ac:dyDescent="0.3">
      <c r="B12" s="41"/>
      <c r="C12" s="38"/>
      <c r="D12" s="32" t="s">
        <v>21</v>
      </c>
      <c r="E12" s="15"/>
      <c r="F12" s="15"/>
      <c r="G12" s="16"/>
      <c r="H12" s="14"/>
      <c r="I12" s="14"/>
      <c r="J12" s="36"/>
      <c r="K12" s="34"/>
      <c r="L12" s="6"/>
      <c r="M12" s="6"/>
      <c r="N12" s="6"/>
      <c r="O12" s="6"/>
      <c r="P12" s="6"/>
      <c r="Q12" s="6"/>
      <c r="R12" s="6"/>
      <c r="S12" s="6"/>
      <c r="T12" s="6"/>
      <c r="U12" s="6"/>
      <c r="V12" s="21"/>
      <c r="W12" s="21"/>
      <c r="X12" s="21"/>
      <c r="Y12" s="21"/>
      <c r="Z12" s="21"/>
      <c r="AA12" s="21"/>
      <c r="AB12" s="28"/>
      <c r="AC12" s="28"/>
      <c r="AD12" s="30"/>
      <c r="AE12" s="30"/>
      <c r="AF12" s="6"/>
      <c r="AG12" s="6"/>
      <c r="AH12" s="6"/>
      <c r="AI12" s="6"/>
      <c r="AJ12" s="6"/>
    </row>
    <row r="13" spans="1:36" ht="19.95" customHeight="1" x14ac:dyDescent="0.3">
      <c r="B13" s="41"/>
      <c r="C13" s="38"/>
      <c r="D13" s="32" t="s">
        <v>22</v>
      </c>
      <c r="E13" s="15"/>
      <c r="F13" s="15"/>
      <c r="G13" s="16"/>
      <c r="H13" s="14"/>
      <c r="I13" s="14"/>
      <c r="J13" s="36"/>
      <c r="K13" s="3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1"/>
      <c r="Z13" s="21"/>
      <c r="AA13" s="21"/>
      <c r="AB13" s="21"/>
      <c r="AC13" s="28"/>
      <c r="AD13" s="28"/>
      <c r="AE13" s="30"/>
      <c r="AF13" s="30"/>
      <c r="AG13" s="6"/>
      <c r="AH13" s="6"/>
      <c r="AI13" s="6"/>
      <c r="AJ13" s="6"/>
    </row>
    <row r="14" spans="1:36" ht="19.95" customHeight="1" x14ac:dyDescent="0.3">
      <c r="B14" s="42"/>
      <c r="C14" s="39"/>
      <c r="D14" s="32" t="s">
        <v>23</v>
      </c>
      <c r="E14" s="15"/>
      <c r="F14" s="15"/>
      <c r="G14" s="16"/>
      <c r="H14" s="14"/>
      <c r="I14" s="14"/>
      <c r="J14" s="36"/>
      <c r="K14" s="3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21"/>
      <c r="AA14" s="21"/>
      <c r="AB14" s="21"/>
      <c r="AC14" s="21"/>
      <c r="AD14" s="28"/>
      <c r="AE14" s="28"/>
      <c r="AF14" s="30"/>
      <c r="AG14" s="30"/>
      <c r="AH14" s="6"/>
      <c r="AI14" s="6"/>
      <c r="AJ14" s="6"/>
    </row>
    <row r="15" spans="1:36" ht="22.95" customHeight="1" x14ac:dyDescent="0.3"/>
  </sheetData>
  <mergeCells count="16">
    <mergeCell ref="T2:AA2"/>
    <mergeCell ref="AB2:AJ2"/>
    <mergeCell ref="B6:B7"/>
    <mergeCell ref="C6:C7"/>
    <mergeCell ref="AB3:AF3"/>
    <mergeCell ref="AG3:AJ3"/>
    <mergeCell ref="K2:S2"/>
    <mergeCell ref="K3:N3"/>
    <mergeCell ref="O3:S3"/>
    <mergeCell ref="T3:W3"/>
    <mergeCell ref="X3:AA3"/>
    <mergeCell ref="C8:C10"/>
    <mergeCell ref="B8:B10"/>
    <mergeCell ref="B11:B14"/>
    <mergeCell ref="C11:C14"/>
    <mergeCell ref="D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 Hay</dc:creator>
  <cp:lastModifiedBy>Sans Hay</cp:lastModifiedBy>
  <dcterms:created xsi:type="dcterms:W3CDTF">2025-11-01T10:51:38Z</dcterms:created>
  <dcterms:modified xsi:type="dcterms:W3CDTF">2025-11-04T03:58:17Z</dcterms:modified>
</cp:coreProperties>
</file>